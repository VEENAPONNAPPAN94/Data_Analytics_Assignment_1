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Assignments\"/>
    </mc:Choice>
  </mc:AlternateContent>
  <xr:revisionPtr revIDLastSave="0" documentId="13_ncr:2001_{412A8037-1522-4CBE-BAC8-839A4E0973DE}" xr6:coauthVersionLast="47" xr6:coauthVersionMax="47" xr10:uidLastSave="{00000000-0000-0000-0000-000000000000}"/>
  <bookViews>
    <workbookView xWindow="-108" yWindow="-108" windowWidth="23256" windowHeight="12456" xr2:uid="{BE0D1A57-CC75-416D-97A6-C98EDE221D4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J2" i="1" a="1"/>
  <c r="J2" i="1" s="1"/>
  <c r="I2" i="1" a="1"/>
  <c r="I2" i="1" s="1"/>
  <c r="H2" i="1" a="1"/>
  <c r="H2" i="1" s="1"/>
  <c r="Q2" i="1"/>
  <c r="P2" i="1"/>
  <c r="O2" i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<sst xmlns="http://schemas.openxmlformats.org/spreadsheetml/2006/main" count="154" uniqueCount="105">
  <si>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</si>
  <si>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</si>
  <si>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</si>
  <si>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</si>
  <si>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</si>
  <si>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</si>
  <si>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</si>
  <si>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</si>
  <si>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</si>
  <si>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</si>
  <si>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</si>
  <si>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</si>
  <si>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</si>
  <si>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</si>
  <si>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</si>
  <si>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</si>
  <si>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</si>
  <si>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</si>
  <si>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</si>
  <si>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</si>
  <si>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</si>
  <si>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</si>
  <si>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</si>
  <si>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</si>
  <si>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</si>
  <si>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</si>
  <si>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</si>
  <si>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</si>
  <si>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</si>
  <si>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</si>
  <si>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</si>
  <si>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</si>
  <si>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</si>
  <si>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</si>
  <si>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</si>
  <si>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</si>
  <si>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</si>
  <si>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</si>
  <si>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</si>
  <si>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</si>
  <si>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</si>
  <si>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</si>
  <si>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</si>
  <si>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</si>
  <si>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</si>
  <si>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</si>
  <si>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</si>
  <si>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</si>
  <si>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</si>
  <si>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</si>
  <si>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</si>
  <si>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</si>
  <si>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</si>
  <si>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</si>
  <si>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</si>
  <si>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</si>
  <si>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</si>
  <si>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</si>
  <si>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</si>
  <si>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</si>
  <si>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</si>
  <si>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</si>
  <si>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</si>
  <si>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</si>
  <si>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</si>
  <si>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</si>
  <si>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</si>
  <si>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</si>
  <si>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</si>
  <si>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</si>
  <si>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</si>
  <si>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</si>
  <si>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</si>
  <si>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</si>
  <si>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</si>
  <si>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</si>
  <si>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</si>
  <si>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</si>
  <si>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</si>
  <si>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</si>
  <si>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</si>
  <si>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</si>
  <si>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</si>
  <si>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</si>
  <si>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</si>
  <si>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</si>
  <si>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</si>
  <si>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</si>
  <si>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</si>
  <si>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</si>
  <si>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</si>
  <si>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</si>
  <si>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</si>
  <si>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</si>
  <si>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Total number of all Products</t>
  </si>
  <si>
    <t>Average price</t>
  </si>
  <si>
    <t>Minimum Price</t>
  </si>
  <si>
    <t>Maximum Price</t>
  </si>
  <si>
    <t>Price Range</t>
  </si>
  <si>
    <t>Margin</t>
  </si>
  <si>
    <t>Total price of electronics(per item)</t>
  </si>
  <si>
    <t>Count of products with price less than 100$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</si>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</sst>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3" fillId="2" borderId="0" xfId="1" applyFont="1" applyFill="1" applyAlignment="1">
      <alignment horizontal="center"/>
    </xf>
    <xf numFmtId="0" fontId="4" fillId="0" borderId="0" xfId="1" applyFont="1"/>
    <xf numFmtId="0" fontId="4" fillId="3" borderId="0" xfId="1" applyFont="1" applyFill="1"/>
    <xf numFmtId="0" fontId="1" fillId="4" borderId="0" xfId="0" applyFont="1" applyFill="1" applyAlignment="1">
      <alignment horizontal="left"/>
    </xf>
    <xf numFmtId="0" fontId="0" fillId="5" borderId="0" xfId="0" applyFill="1"/>
    <xf numFmtId="0" fontId="5" fillId="2" borderId="0" xfId="1" applyFont="1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2">
    <cellStyle name="Normal" xfId="0" builtinId="0"/>
    <cellStyle name="Normal 2" xfId="1" xr:uid="{DE6AD129-EC3B-47DB-A036-43206E4E3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CD61-C473-4140-9138-A2578C961AB9}">
  <dimension ref="A1:R48"/>
  <sheetViews>
    <sheetView tabSelected="1" workbookViewId="0">
      <selection activeCell="N8" sqref="N8"/>
    </sheetView>
  </sheetViews>
  <sheetFormatPr defaultRowHeight="14.4" x14ac:dyDescent="0.3"/>
  <cols>
    <col min="1" max="1" width="17.44140625" customWidth="1"/>
    <col min="2" max="2" width="13.6640625" customWidth="1"/>
    <col min="3" max="3" width="15.88671875" customWidth="1"/>
    <col min="6" max="6" width="13.6640625" customWidth="1"/>
    <col min="7" max="7" width="13.21875" customWidth="1"/>
    <col min="11" max="11" width="10.88671875" customWidth="1"/>
    <col min="12" max="12" width="9.5546875" customWidth="1"/>
    <col min="13" max="14" width="8.4414062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7" t="s">
        <v>98</v>
      </c>
      <c r="H1" s="8" t="s">
        <v>102</v>
      </c>
      <c r="I1" s="8" t="s">
        <v>103</v>
      </c>
      <c r="J1" s="8" t="s">
        <v>104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100</v>
      </c>
      <c r="Q1" s="5" t="s">
        <v>101</v>
      </c>
      <c r="R1" s="5" t="s">
        <v>99</v>
      </c>
    </row>
    <row r="2" spans="1:18" x14ac:dyDescent="0.3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>
        <f>IF(D2&gt;=$R$2,"High price","Standard price")</f>
        <v>High price</v>
      </c>
      <c r="H2" t="str" cm="1">
        <f t="array" ref="H2:H35">LEFT(A2:A35,2)</f>
        <v>28</v>
      </c>
      <c r="I2" t="str" cm="1">
        <f t="array" ref="I2:I35">RIGHT(A2:A35,2)</f>
        <v>US</v>
      </c>
      <c r="J2" t="str" cm="1">
        <f t="array" ref="J2:J35">MID(A2:A35,4,3)</f>
        <v>JAN</v>
      </c>
      <c r="K2" s="6">
        <f>SUM(D2:D35)</f>
        <v>10100</v>
      </c>
      <c r="L2" s="6">
        <f>SUM(E2:E35)</f>
        <v>900</v>
      </c>
      <c r="M2" s="6">
        <f>AVERAGE(D2:D35)</f>
        <v>297.05882352941177</v>
      </c>
      <c r="N2" s="6">
        <f>MIN(D2:D35)</f>
        <v>30</v>
      </c>
      <c r="O2" s="6">
        <f>MAX(D2:D35)</f>
        <v>1000</v>
      </c>
      <c r="P2" s="6">
        <f>SUMIF(F2:F35,"Electronics",D2:D35)</f>
        <v>8050</v>
      </c>
      <c r="Q2" s="6">
        <f>COUNTIF(D2:D35,"&gt;100")</f>
        <v>22</v>
      </c>
      <c r="R2" s="9">
        <v>500</v>
      </c>
    </row>
    <row r="3" spans="1:18" x14ac:dyDescent="0.3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 t="str">
        <f t="shared" ref="G3:G35" si="0">IF(D3&gt;=$R$2,"High price","Standard price")</f>
        <v>Standard price</v>
      </c>
      <c r="H3" t="str">
        <v>15</v>
      </c>
      <c r="I3" t="str">
        <v>US</v>
      </c>
      <c r="J3" t="str">
        <v>FEB</v>
      </c>
    </row>
    <row r="4" spans="1:18" x14ac:dyDescent="0.3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f t="shared" si="0"/>
        <v>Standard price</v>
      </c>
      <c r="H4" t="str">
        <v>03</v>
      </c>
      <c r="I4" t="str">
        <v>US</v>
      </c>
      <c r="J4" t="str">
        <v>MAR</v>
      </c>
    </row>
    <row r="5" spans="1:18" x14ac:dyDescent="0.3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 t="str">
        <f t="shared" si="0"/>
        <v>High price</v>
      </c>
      <c r="H5" t="str">
        <v>11</v>
      </c>
      <c r="I5" t="str">
        <v>US</v>
      </c>
      <c r="J5" t="str">
        <v>APR</v>
      </c>
    </row>
    <row r="6" spans="1:18" x14ac:dyDescent="0.3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f t="shared" si="0"/>
        <v>Standard price</v>
      </c>
      <c r="H6" t="str">
        <v>22</v>
      </c>
      <c r="I6" t="str">
        <v>US</v>
      </c>
      <c r="J6" t="str">
        <v>MAY</v>
      </c>
    </row>
    <row r="7" spans="1:18" x14ac:dyDescent="0.3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 t="str">
        <f t="shared" si="0"/>
        <v>Standard price</v>
      </c>
      <c r="H7" t="str">
        <v>07</v>
      </c>
      <c r="I7" t="str">
        <v>UK</v>
      </c>
      <c r="J7" t="str">
        <v>JUN</v>
      </c>
    </row>
    <row r="8" spans="1:18" x14ac:dyDescent="0.3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f t="shared" si="0"/>
        <v>Standard price</v>
      </c>
      <c r="H8" t="str">
        <v>19</v>
      </c>
      <c r="I8" t="str">
        <v>UK</v>
      </c>
      <c r="J8" t="str">
        <v>JUL</v>
      </c>
    </row>
    <row r="9" spans="1:18" x14ac:dyDescent="0.3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 t="str">
        <f t="shared" si="0"/>
        <v>Standard price</v>
      </c>
      <c r="H9" t="str">
        <v>23</v>
      </c>
      <c r="I9" t="str">
        <v>UK</v>
      </c>
      <c r="J9" t="str">
        <v>AUG</v>
      </c>
    </row>
    <row r="10" spans="1:18" x14ac:dyDescent="0.3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f t="shared" si="0"/>
        <v>High price</v>
      </c>
      <c r="H10" t="str">
        <v>05</v>
      </c>
      <c r="I10" t="str">
        <v>UK</v>
      </c>
      <c r="J10" t="str">
        <v>SEP</v>
      </c>
    </row>
    <row r="11" spans="1:18" x14ac:dyDescent="0.3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 t="str">
        <f t="shared" si="0"/>
        <v>Standard price</v>
      </c>
      <c r="H11" t="str">
        <v>14</v>
      </c>
      <c r="I11" t="str">
        <v>UK</v>
      </c>
      <c r="J11" t="str">
        <v>OCT</v>
      </c>
    </row>
    <row r="12" spans="1:18" x14ac:dyDescent="0.3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f t="shared" si="0"/>
        <v>High price</v>
      </c>
      <c r="H12" t="str">
        <v>17</v>
      </c>
      <c r="I12" t="str">
        <v>IN</v>
      </c>
      <c r="J12" t="str">
        <v>JUN</v>
      </c>
    </row>
    <row r="13" spans="1:18" x14ac:dyDescent="0.3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 t="str">
        <f t="shared" si="0"/>
        <v>Standard price</v>
      </c>
      <c r="H13" t="str">
        <v>25</v>
      </c>
      <c r="I13" t="str">
        <v>AU</v>
      </c>
      <c r="J13" t="str">
        <v>NOV</v>
      </c>
    </row>
    <row r="14" spans="1:18" x14ac:dyDescent="0.3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f t="shared" si="0"/>
        <v>Standard price</v>
      </c>
      <c r="H14" t="str">
        <v>08</v>
      </c>
      <c r="I14" t="str">
        <v>DE</v>
      </c>
      <c r="J14" t="str">
        <v>DEC</v>
      </c>
    </row>
    <row r="15" spans="1:18" x14ac:dyDescent="0.3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 t="str">
        <f t="shared" si="0"/>
        <v>Standard price</v>
      </c>
      <c r="H15" t="str">
        <v>18</v>
      </c>
      <c r="I15" t="str">
        <v>CA</v>
      </c>
      <c r="J15" t="str">
        <v>FEB</v>
      </c>
    </row>
    <row r="16" spans="1:18" x14ac:dyDescent="0.3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f t="shared" si="0"/>
        <v>Standard price</v>
      </c>
      <c r="H16" t="str">
        <v>16</v>
      </c>
      <c r="I16" t="str">
        <v>ES</v>
      </c>
      <c r="J16" t="str">
        <v>APR</v>
      </c>
    </row>
    <row r="17" spans="1:10" x14ac:dyDescent="0.3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 t="str">
        <f t="shared" si="0"/>
        <v>Standard price</v>
      </c>
      <c r="H17" t="str">
        <v>21</v>
      </c>
      <c r="I17" t="str">
        <v>CA</v>
      </c>
      <c r="J17" t="str">
        <v>AUG</v>
      </c>
    </row>
    <row r="18" spans="1:10" x14ac:dyDescent="0.3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f t="shared" si="0"/>
        <v>Standard price</v>
      </c>
      <c r="H18" t="str">
        <v>20</v>
      </c>
      <c r="I18" t="str">
        <v>CN</v>
      </c>
      <c r="J18" t="str">
        <v>AUG</v>
      </c>
    </row>
    <row r="19" spans="1:10" x14ac:dyDescent="0.3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 t="str">
        <f t="shared" si="0"/>
        <v>High price</v>
      </c>
      <c r="H19" t="str">
        <v>27</v>
      </c>
      <c r="I19" t="str">
        <v>IT</v>
      </c>
      <c r="J19" t="str">
        <v>JAN</v>
      </c>
    </row>
    <row r="20" spans="1:10" x14ac:dyDescent="0.3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f t="shared" si="0"/>
        <v>Standard price</v>
      </c>
      <c r="H20" t="str">
        <v>01</v>
      </c>
      <c r="I20" t="str">
        <v>UK</v>
      </c>
      <c r="J20" t="str">
        <v>MAR</v>
      </c>
    </row>
    <row r="21" spans="1:10" x14ac:dyDescent="0.3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 t="str">
        <f t="shared" si="0"/>
        <v>Standard price</v>
      </c>
      <c r="H21" t="str">
        <v>14</v>
      </c>
      <c r="I21" t="str">
        <v>US</v>
      </c>
      <c r="J21" t="str">
        <v>AUG</v>
      </c>
    </row>
    <row r="22" spans="1:10" x14ac:dyDescent="0.3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f t="shared" si="0"/>
        <v>High price</v>
      </c>
      <c r="H22" t="str">
        <v>14</v>
      </c>
      <c r="I22" t="str">
        <v>RU</v>
      </c>
      <c r="J22" t="str">
        <v>MAY</v>
      </c>
    </row>
    <row r="23" spans="1:10" x14ac:dyDescent="0.3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 t="str">
        <f t="shared" si="0"/>
        <v>Standard price</v>
      </c>
      <c r="H23" t="str">
        <v>09</v>
      </c>
      <c r="I23" t="str">
        <v>CA</v>
      </c>
      <c r="J23" t="str">
        <v>JAN</v>
      </c>
    </row>
    <row r="24" spans="1:10" x14ac:dyDescent="0.3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 t="shared" si="0"/>
        <v>Standard price</v>
      </c>
      <c r="H24" t="str">
        <v>19</v>
      </c>
      <c r="I24" t="str">
        <v>BR</v>
      </c>
      <c r="J24" t="str">
        <v>JUL</v>
      </c>
    </row>
    <row r="25" spans="1:10" x14ac:dyDescent="0.3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3" t="str">
        <f t="shared" si="0"/>
        <v>Standard price</v>
      </c>
      <c r="H25" t="str">
        <v>21</v>
      </c>
      <c r="I25" t="str">
        <v>CA</v>
      </c>
      <c r="J25" t="str">
        <v>AUG</v>
      </c>
    </row>
    <row r="26" spans="1:10" x14ac:dyDescent="0.3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f t="shared" si="0"/>
        <v>High price</v>
      </c>
      <c r="H26" t="str">
        <v>29</v>
      </c>
      <c r="I26" t="str">
        <v>CA</v>
      </c>
      <c r="J26" t="str">
        <v>SEP</v>
      </c>
    </row>
    <row r="27" spans="1:10" x14ac:dyDescent="0.3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 t="str">
        <f t="shared" si="0"/>
        <v>Standard price</v>
      </c>
      <c r="H27" t="str">
        <v>03</v>
      </c>
      <c r="I27" t="str">
        <v>CA</v>
      </c>
      <c r="J27" t="str">
        <v>JUN</v>
      </c>
    </row>
    <row r="28" spans="1:10" x14ac:dyDescent="0.3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f t="shared" si="0"/>
        <v>Standard price</v>
      </c>
      <c r="H28" t="str">
        <v>11</v>
      </c>
      <c r="I28" t="str">
        <v>CA</v>
      </c>
      <c r="J28" t="str">
        <v>JUL</v>
      </c>
    </row>
    <row r="29" spans="1:10" x14ac:dyDescent="0.3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3" t="str">
        <f t="shared" si="0"/>
        <v>Standard price</v>
      </c>
      <c r="H29" t="str">
        <v>16</v>
      </c>
      <c r="I29" t="str">
        <v>ES</v>
      </c>
      <c r="J29" t="str">
        <v>APR</v>
      </c>
    </row>
    <row r="30" spans="1:10" x14ac:dyDescent="0.3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f t="shared" si="0"/>
        <v>Standard price</v>
      </c>
      <c r="H30" t="str">
        <v>07</v>
      </c>
      <c r="I30" t="str">
        <v>CA</v>
      </c>
      <c r="J30" t="str">
        <v>MAR</v>
      </c>
    </row>
    <row r="31" spans="1:10" x14ac:dyDescent="0.3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 t="str">
        <f t="shared" si="0"/>
        <v>Standard price</v>
      </c>
      <c r="H31" t="str">
        <v>13</v>
      </c>
      <c r="I31" t="str">
        <v>CA</v>
      </c>
      <c r="J31" t="str">
        <v>APR</v>
      </c>
    </row>
    <row r="32" spans="1:10" x14ac:dyDescent="0.3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f t="shared" si="0"/>
        <v>Standard price</v>
      </c>
      <c r="H32" t="str">
        <v>24</v>
      </c>
      <c r="I32" t="str">
        <v>CA</v>
      </c>
      <c r="J32" t="str">
        <v>MAY</v>
      </c>
    </row>
    <row r="33" spans="1:10" x14ac:dyDescent="0.3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 t="str">
        <f t="shared" si="0"/>
        <v>Standard price</v>
      </c>
      <c r="H33" t="str">
        <v>02</v>
      </c>
      <c r="I33" t="str">
        <v>CA</v>
      </c>
      <c r="J33" t="str">
        <v>DEC</v>
      </c>
    </row>
    <row r="34" spans="1:10" x14ac:dyDescent="0.3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f t="shared" si="0"/>
        <v>High price</v>
      </c>
      <c r="H34" t="str">
        <v>17</v>
      </c>
      <c r="I34" t="str">
        <v>IN</v>
      </c>
      <c r="J34" t="str">
        <v>JUN</v>
      </c>
    </row>
    <row r="35" spans="1:10" x14ac:dyDescent="0.3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 t="str">
        <f t="shared" si="0"/>
        <v>Standard price</v>
      </c>
      <c r="H35" t="str">
        <v>09</v>
      </c>
      <c r="I35" t="str">
        <v>FR</v>
      </c>
      <c r="J35" t="str">
        <v>JUL</v>
      </c>
    </row>
    <row r="36" spans="1:10" x14ac:dyDescent="0.3">
      <c r="A36" s="1"/>
      <c r="B36" s="1"/>
      <c r="C36" s="1"/>
      <c r="D36" s="1"/>
      <c r="E36" s="1"/>
      <c r="F36" s="1"/>
      <c r="G36" s="1"/>
    </row>
    <row r="37" spans="1:10" x14ac:dyDescent="0.3">
      <c r="A37" s="1"/>
      <c r="B37" s="1"/>
      <c r="C37" s="1"/>
      <c r="D37" s="1"/>
      <c r="E37" s="1"/>
      <c r="F37" s="1"/>
      <c r="G37" s="1"/>
    </row>
    <row r="38" spans="1:10" x14ac:dyDescent="0.3">
      <c r="A38" s="1"/>
      <c r="B38" s="1"/>
      <c r="C38" s="1"/>
      <c r="D38" s="1"/>
      <c r="E38" s="1"/>
      <c r="F38" s="1"/>
      <c r="G38" s="1"/>
    </row>
    <row r="39" spans="1:10" x14ac:dyDescent="0.3">
      <c r="A39" s="1"/>
      <c r="B39" s="1"/>
      <c r="C39" s="1"/>
      <c r="D39" s="1"/>
      <c r="E39" s="1"/>
      <c r="F39" s="1"/>
      <c r="G39" s="1"/>
    </row>
    <row r="40" spans="1:10" x14ac:dyDescent="0.3">
      <c r="A40" s="1"/>
      <c r="B40" s="1"/>
      <c r="C40" s="1"/>
      <c r="D40" s="1"/>
      <c r="E40" s="1"/>
      <c r="F40" s="1"/>
      <c r="G40" s="1"/>
    </row>
    <row r="41" spans="1:10" x14ac:dyDescent="0.3">
      <c r="A41" s="1"/>
      <c r="B41" s="1"/>
      <c r="C41" s="1"/>
      <c r="D41" s="1"/>
      <c r="E41" s="1"/>
      <c r="F41" s="1"/>
      <c r="G41" s="1"/>
    </row>
    <row r="42" spans="1:10" x14ac:dyDescent="0.3">
      <c r="A42" s="1"/>
      <c r="B42" s="1"/>
      <c r="C42" s="1"/>
      <c r="D42" s="1"/>
      <c r="E42" s="1"/>
      <c r="F42" s="1"/>
      <c r="G42" s="1"/>
    </row>
    <row r="43" spans="1:10" x14ac:dyDescent="0.3">
      <c r="A43" s="1"/>
      <c r="B43" s="1"/>
      <c r="C43" s="1"/>
      <c r="D43" s="1"/>
      <c r="E43" s="1"/>
      <c r="F43" s="1"/>
      <c r="G43" s="1"/>
    </row>
    <row r="44" spans="1:10" x14ac:dyDescent="0.3">
      <c r="A44" s="1"/>
      <c r="B44" s="1"/>
      <c r="C44" s="1"/>
      <c r="D44" s="1"/>
      <c r="E44" s="1"/>
      <c r="F44" s="1"/>
      <c r="G44" s="1"/>
    </row>
    <row r="45" spans="1:10" x14ac:dyDescent="0.3">
      <c r="A45" s="1"/>
      <c r="B45" s="1"/>
      <c r="C45" s="1"/>
      <c r="D45" s="1"/>
      <c r="E45" s="1"/>
      <c r="F45" s="1"/>
      <c r="G45" s="1"/>
    </row>
    <row r="46" spans="1:10" x14ac:dyDescent="0.3">
      <c r="A46" s="1"/>
      <c r="B46" s="1"/>
      <c r="C46" s="1"/>
      <c r="D46" s="1"/>
      <c r="E46" s="1"/>
      <c r="F46" s="1"/>
      <c r="G46" s="1"/>
    </row>
    <row r="47" spans="1:10" x14ac:dyDescent="0.3">
      <c r="A47" s="1"/>
      <c r="B47" s="1"/>
      <c r="C47" s="1"/>
      <c r="D47" s="1"/>
      <c r="E47" s="1"/>
      <c r="F47" s="1"/>
      <c r="G47" s="1"/>
    </row>
    <row r="48" spans="1:10" x14ac:dyDescent="0.3">
      <c r="A48" s="1"/>
      <c r="B48" s="1"/>
      <c r="C48" s="1"/>
      <c r="D48" s="1"/>
      <c r="E48" s="1"/>
      <c r="F48" s="1"/>
      <c r="G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Prasanth</dc:creator>
  <cp:lastModifiedBy>Veena Prasanth</cp:lastModifiedBy>
  <dcterms:created xsi:type="dcterms:W3CDTF">2026-09-11T11:31:16Z</dcterms:created>
  <dcterms:modified xsi:type="dcterms:W3CDTF">2026-09-12T10:22:12Z</dcterms:modified>
</cp:coreProperties>
</file>